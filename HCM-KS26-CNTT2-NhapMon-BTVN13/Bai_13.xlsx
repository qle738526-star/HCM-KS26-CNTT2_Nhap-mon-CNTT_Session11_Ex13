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bookViews>
    <workbookView xWindow="0" yWindow="0" windowWidth="13920" windowHeight="8145"/>
  </bookViews>
  <sheets>
    <sheet name="Sheet1" sheetId="1" r:id="rId1"/>
    <sheet name="DANHMUCSACH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0" i="1" l="1"/>
  <c r="D11" i="1"/>
  <c r="D12" i="1"/>
  <c r="D13" i="1"/>
</calcChain>
</file>

<file path=xl/sharedStrings.xml><?xml version="1.0" encoding="utf-8"?>
<sst xmlns="http://schemas.openxmlformats.org/spreadsheetml/2006/main" count="52" uniqueCount="48">
  <si>
    <t>Lỗi</t>
  </si>
  <si>
    <t>Vị trí (hàng)</t>
  </si>
  <si>
    <t>Quy tắc bị vi phạm</t>
  </si>
  <si>
    <t>Hàng 1 (ô A1:E1 đang bị MERGE làm tiêu đề lớn): "DANH SÁCH MƯỢN SÁCH THÁNG 10"</t>
  </si>
  <si>
    <t>Quy tắc số 1</t>
  </si>
  <si>
    <t>Hàng 5 (để trống hoàn toàn)</t>
  </si>
  <si>
    <t>Quy tắc số 4</t>
  </si>
  <si>
    <t>Hàng 6 : Tổng cộng</t>
  </si>
  <si>
    <t>Quy tắc số 5</t>
  </si>
  <si>
    <t>DANH SÁCH MƯỢN SÁCH THÁNG 10</t>
  </si>
  <si>
    <t>MSSV</t>
  </si>
  <si>
    <t>Họ tên</t>
  </si>
  <si>
    <t>Mã sách</t>
  </si>
  <si>
    <t>Ngày mượn</t>
  </si>
  <si>
    <t>Tình trạng</t>
  </si>
  <si>
    <t>SV001</t>
  </si>
  <si>
    <t>SV002</t>
  </si>
  <si>
    <t>SV003</t>
  </si>
  <si>
    <t>SV004</t>
  </si>
  <si>
    <t>Nguyễn Văn An</t>
  </si>
  <si>
    <t>Trần Thị Bình</t>
  </si>
  <si>
    <t>Lê Văn Cường</t>
  </si>
  <si>
    <t>Trần Thu Hà</t>
  </si>
  <si>
    <t>S001</t>
  </si>
  <si>
    <t>S002</t>
  </si>
  <si>
    <t>S003</t>
  </si>
  <si>
    <t>S099</t>
  </si>
  <si>
    <t>Đang mượn</t>
  </si>
  <si>
    <t>Quá hạn</t>
  </si>
  <si>
    <t>Đã trả</t>
  </si>
  <si>
    <t>Tổng cộng</t>
  </si>
  <si>
    <t>2 phiếu</t>
  </si>
  <si>
    <t>Field (hàng dọc) vd: MSSV, Họ tên,…</t>
  </si>
  <si>
    <t>Record (Hàng ngang): SV001, Nguyễn Văn An,….</t>
  </si>
  <si>
    <t>Tên sách</t>
  </si>
  <si>
    <t>Mã Sách</t>
  </si>
  <si>
    <t>Tên Sách</t>
  </si>
  <si>
    <t>Thể Loại</t>
  </si>
  <si>
    <t>Lập Trình C Căn Bản</t>
  </si>
  <si>
    <t>Công nghệ thông tin</t>
  </si>
  <si>
    <t>Giải Tích 1</t>
  </si>
  <si>
    <t>Toán học</t>
  </si>
  <si>
    <t>Kỹ Năng Mềm</t>
  </si>
  <si>
    <t>Kỹ năng sống</t>
  </si>
  <si>
    <t>DANHMUCSACH</t>
  </si>
  <si>
    <t xml:space="preserve">S099 bị lỗi vì hàm VLOOKUP chỉ dò đến A4:C6 trong khi S099 lại nằm tương đương với </t>
  </si>
  <si>
    <t>với A7 và C7 nên nó</t>
  </si>
  <si>
    <t>nằm ngoài vùng dữ liệu mà hàm quét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</si>
</sst>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  <family val="2"/>
    </font>
    <font>
      <sz val="20"/>
      <color rgb="FF002060"/>
      <name val="Calibri"/>
      <family val="2"/>
      <scheme val="minor"/>
    </font>
    <font>
      <sz val="20"/>
      <color rgb="FFC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/>
    </xf>
    <xf numFmtId="0" fontId="0" fillId="0" borderId="0" xfId="0" applyAlignment="1">
      <alignment horizontal="center"/>
    </xf>
    <xf numFmtId="0" fontId="1" fillId="2" borderId="0" xfId="1" applyAlignment="1">
      <alignment horizontal="center"/>
    </xf>
    <xf numFmtId="0" fontId="5" fillId="2" borderId="0" xfId="1" applyFont="1" applyAlignment="1">
      <alignment horizontal="center"/>
    </xf>
    <xf numFmtId="0" fontId="4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/>
    </xf>
    <xf numFmtId="0" fontId="2" fillId="3" borderId="0" xfId="2" applyAlignment="1">
      <alignment horizontal="center"/>
    </xf>
    <xf numFmtId="0" fontId="6" fillId="3" borderId="0" xfId="2" applyFont="1" applyAlignment="1">
      <alignment horizontal="center"/>
    </xf>
  </cellXfs>
  <cellStyles count="3">
    <cellStyle name="Bad" xfId="1" builtinId="27"/>
    <cellStyle name="Neutral" xfId="2" builtinId="28"/>
    <cellStyle name="Normal" xfId="0" builtinId="0"/>
  </cellStyles>
  <dxfs count="16">
    <dxf>
      <numFmt numFmtId="0" formatCode="General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m/d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C4" totalsRowShown="0" headerRowDxfId="13">
  <autoFilter ref="A1:C4"/>
  <tableColumns count="3">
    <tableColumn id="1" name="Lỗi" dataDxfId="15"/>
    <tableColumn id="2" name="Vị trí (hàng)"/>
    <tableColumn id="3" name="Quy tắc bị vi phạm" dataDxfId="1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3" name="Table3" displayName="Table3" ref="A9:F13" totalsRowShown="0" headerRowDxfId="6" dataDxfId="7">
  <autoFilter ref="A9:F13"/>
  <tableColumns count="6">
    <tableColumn id="1" name="MSSV" dataDxfId="12"/>
    <tableColumn id="2" name="Họ tên" dataDxfId="11"/>
    <tableColumn id="3" name="Mã sách" dataDxfId="10"/>
    <tableColumn id="6" name="Tên sách" dataDxfId="0">
      <calculatedColumnFormula>IFERROR(VLOOKUP(C10,DANHMUCSACH!$A$4:$C$6, 3, FALSE), "Không tìm thấy sách")</calculatedColumnFormula>
    </tableColumn>
    <tableColumn id="4" name="Ngày mượn" dataDxfId="9"/>
    <tableColumn id="5" name="Tình trạng" dataDxfId="8"/>
  </tableColumns>
  <tableStyleInfo name="TableStyleMedium26" showFirstColumn="0" showLastColumn="0" showRowStripes="1" showColumnStripes="0"/>
</table>
</file>

<file path=xl/tables/table3.xml><?xml version="1.0" encoding="utf-8"?>
<table xmlns="http://schemas.openxmlformats.org/spreadsheetml/2006/main" id="4" name="Table4" displayName="Table4" ref="A3:C6" totalsRowShown="0" headerRowDxfId="1" dataDxfId="2">
  <autoFilter ref="A3:C6"/>
  <tableColumns count="3">
    <tableColumn id="1" name="Mã Sách" dataDxfId="5"/>
    <tableColumn id="2" name="Tên Sách" dataDxfId="4"/>
    <tableColumn id="3" name="Thể Loại" dataDxf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"/>
  <sheetViews>
    <sheetView tabSelected="1" workbookViewId="0">
      <selection activeCell="D19" sqref="D19"/>
    </sheetView>
  </sheetViews>
  <sheetFormatPr defaultRowHeight="15" x14ac:dyDescent="0.25"/>
  <cols>
    <col min="1" max="1" width="10" customWidth="1"/>
    <col min="2" max="2" width="77.85546875" customWidth="1"/>
    <col min="3" max="4" width="19.28515625" customWidth="1"/>
    <col min="5" max="5" width="18.140625" customWidth="1"/>
    <col min="6" max="6" width="17.85546875" customWidth="1"/>
    <col min="8" max="8" width="77.5703125" bestFit="1" customWidth="1"/>
  </cols>
  <sheetData>
    <row r="1" spans="1:12" x14ac:dyDescent="0.25">
      <c r="A1" s="2" t="s">
        <v>0</v>
      </c>
      <c r="B1" s="2" t="s">
        <v>1</v>
      </c>
      <c r="C1" s="2" t="s">
        <v>2</v>
      </c>
      <c r="D1" s="2"/>
    </row>
    <row r="2" spans="1:12" x14ac:dyDescent="0.25">
      <c r="A2" s="3">
        <v>1</v>
      </c>
      <c r="B2" s="4" t="s">
        <v>3</v>
      </c>
      <c r="C2" s="3" t="s">
        <v>4</v>
      </c>
      <c r="D2" s="3"/>
    </row>
    <row r="3" spans="1:12" x14ac:dyDescent="0.25">
      <c r="A3" s="3">
        <v>2</v>
      </c>
      <c r="B3" s="3" t="s">
        <v>5</v>
      </c>
      <c r="C3" s="3" t="s">
        <v>6</v>
      </c>
      <c r="D3" s="3"/>
    </row>
    <row r="4" spans="1:12" x14ac:dyDescent="0.25">
      <c r="A4" s="3">
        <v>3</v>
      </c>
      <c r="B4" s="3" t="s">
        <v>7</v>
      </c>
      <c r="C4" s="3" t="s">
        <v>8</v>
      </c>
      <c r="D4" s="3"/>
    </row>
    <row r="7" spans="1:12" x14ac:dyDescent="0.25">
      <c r="A7" s="7" t="s">
        <v>9</v>
      </c>
      <c r="B7" s="6"/>
      <c r="C7" s="6"/>
      <c r="D7" s="6"/>
      <c r="E7" s="6"/>
      <c r="F7" s="6"/>
    </row>
    <row r="8" spans="1:12" x14ac:dyDescent="0.25">
      <c r="A8" s="6"/>
      <c r="B8" s="6"/>
      <c r="C8" s="6"/>
      <c r="D8" s="6"/>
      <c r="E8" s="6"/>
      <c r="F8" s="6"/>
    </row>
    <row r="9" spans="1:12" x14ac:dyDescent="0.25">
      <c r="A9" s="5" t="s">
        <v>10</v>
      </c>
      <c r="B9" s="8" t="s">
        <v>11</v>
      </c>
      <c r="C9" s="5" t="s">
        <v>12</v>
      </c>
      <c r="D9" s="5" t="s">
        <v>34</v>
      </c>
      <c r="E9" s="5" t="s">
        <v>13</v>
      </c>
      <c r="F9" s="5" t="s">
        <v>14</v>
      </c>
      <c r="H9" t="s">
        <v>32</v>
      </c>
    </row>
    <row r="10" spans="1:12" x14ac:dyDescent="0.25">
      <c r="A10" s="5" t="s">
        <v>15</v>
      </c>
      <c r="B10" s="8" t="s">
        <v>19</v>
      </c>
      <c r="C10" s="5" t="s">
        <v>23</v>
      </c>
      <c r="D10" s="5" t="str">
        <f>IFERROR(VLOOKUP(C10,DANHMUCSACH!$A$4:$C$6, 3, FALSE), "Không tìm thấy sách")</f>
        <v>Công nghệ thông tin</v>
      </c>
      <c r="E10" s="9">
        <v>46032</v>
      </c>
      <c r="F10" s="5" t="s">
        <v>27</v>
      </c>
      <c r="H10" t="s">
        <v>33</v>
      </c>
    </row>
    <row r="11" spans="1:12" x14ac:dyDescent="0.25">
      <c r="A11" s="5" t="s">
        <v>16</v>
      </c>
      <c r="B11" s="8" t="s">
        <v>20</v>
      </c>
      <c r="C11" s="5" t="s">
        <v>24</v>
      </c>
      <c r="D11" s="5" t="str">
        <f>IFERROR(VLOOKUP(C11,DANHMUCSACH!$A$4:$C$6, 3, FALSE), "Không tìm thấy sách")</f>
        <v>Toán học</v>
      </c>
      <c r="E11" s="9">
        <v>46091</v>
      </c>
      <c r="F11" s="5" t="s">
        <v>28</v>
      </c>
      <c r="H11" t="s">
        <v>45</v>
      </c>
      <c r="L11" t="s">
        <v>46</v>
      </c>
    </row>
    <row r="12" spans="1:12" x14ac:dyDescent="0.25">
      <c r="A12" s="5" t="s">
        <v>17</v>
      </c>
      <c r="B12" s="8" t="s">
        <v>21</v>
      </c>
      <c r="C12" s="5" t="s">
        <v>25</v>
      </c>
      <c r="D12" s="5" t="str">
        <f>IFERROR(VLOOKUP(C12,DANHMUCSACH!$A$4:$C$6, 3, FALSE), "Không tìm thấy sách")</f>
        <v>Kỹ năng sống</v>
      </c>
      <c r="E12" s="9">
        <v>46305</v>
      </c>
      <c r="F12" s="5" t="s">
        <v>29</v>
      </c>
      <c r="H12" t="s">
        <v>47</v>
      </c>
    </row>
    <row r="13" spans="1:12" x14ac:dyDescent="0.25">
      <c r="A13" s="5" t="s">
        <v>18</v>
      </c>
      <c r="B13" s="8" t="s">
        <v>22</v>
      </c>
      <c r="C13" s="5" t="s">
        <v>26</v>
      </c>
      <c r="D13" s="5" t="str">
        <f>IFERROR(VLOOKUP(C13,DANHMUCSACH!$A$4:$C$6, 3, FALSE), "Không tìm thấy sách")</f>
        <v>Không tìm thấy sách</v>
      </c>
      <c r="E13" s="9">
        <v>46366</v>
      </c>
      <c r="F13" s="5" t="s">
        <v>27</v>
      </c>
    </row>
    <row r="14" spans="1:12" x14ac:dyDescent="0.25">
      <c r="B14" s="4"/>
    </row>
    <row r="15" spans="1:12" x14ac:dyDescent="0.25">
      <c r="A15" s="5" t="s">
        <v>30</v>
      </c>
      <c r="B15" s="8"/>
      <c r="C15" s="5"/>
      <c r="D15" s="5"/>
      <c r="E15" s="5"/>
      <c r="F15" s="5" t="s">
        <v>31</v>
      </c>
    </row>
    <row r="16" spans="1:12" x14ac:dyDescent="0.25">
      <c r="B16" s="4"/>
    </row>
    <row r="19" spans="1:3" x14ac:dyDescent="0.25">
      <c r="A19" s="2"/>
      <c r="B19" s="2"/>
      <c r="C19" s="2"/>
    </row>
    <row r="20" spans="1:3" x14ac:dyDescent="0.25">
      <c r="A20" s="3"/>
      <c r="B20" s="3"/>
      <c r="C20" s="3"/>
    </row>
    <row r="21" spans="1:3" x14ac:dyDescent="0.25">
      <c r="A21" s="3"/>
      <c r="B21" s="3"/>
      <c r="C21" s="3"/>
    </row>
    <row r="22" spans="1:3" x14ac:dyDescent="0.25">
      <c r="A22" s="3"/>
      <c r="B22" s="3"/>
      <c r="C22" s="3"/>
    </row>
  </sheetData>
  <mergeCells count="1">
    <mergeCell ref="A7:F8"/>
  </mergeCells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B39" sqref="B39"/>
    </sheetView>
  </sheetViews>
  <sheetFormatPr defaultRowHeight="15" x14ac:dyDescent="0.25"/>
  <cols>
    <col min="1" max="1" width="10.42578125" customWidth="1"/>
    <col min="2" max="2" width="27.28515625" customWidth="1"/>
    <col min="3" max="3" width="27.42578125" customWidth="1"/>
  </cols>
  <sheetData>
    <row r="1" spans="1:3" x14ac:dyDescent="0.25">
      <c r="A1" s="11" t="s">
        <v>44</v>
      </c>
      <c r="B1" s="10"/>
      <c r="C1" s="10"/>
    </row>
    <row r="2" spans="1:3" x14ac:dyDescent="0.25">
      <c r="A2" s="10"/>
      <c r="B2" s="10"/>
      <c r="C2" s="10"/>
    </row>
    <row r="3" spans="1:3" x14ac:dyDescent="0.25">
      <c r="A3" s="2" t="s">
        <v>35</v>
      </c>
      <c r="B3" s="2" t="s">
        <v>36</v>
      </c>
      <c r="C3" s="2" t="s">
        <v>37</v>
      </c>
    </row>
    <row r="4" spans="1:3" x14ac:dyDescent="0.25">
      <c r="A4" s="1" t="s">
        <v>23</v>
      </c>
      <c r="B4" s="1" t="s">
        <v>38</v>
      </c>
      <c r="C4" s="1" t="s">
        <v>39</v>
      </c>
    </row>
    <row r="5" spans="1:3" x14ac:dyDescent="0.25">
      <c r="A5" s="1" t="s">
        <v>24</v>
      </c>
      <c r="B5" s="1" t="s">
        <v>40</v>
      </c>
      <c r="C5" s="1" t="s">
        <v>41</v>
      </c>
    </row>
    <row r="6" spans="1:3" x14ac:dyDescent="0.25">
      <c r="A6" s="1" t="s">
        <v>25</v>
      </c>
      <c r="B6" s="1" t="s">
        <v>42</v>
      </c>
      <c r="C6" s="1" t="s">
        <v>43</v>
      </c>
    </row>
  </sheetData>
  <mergeCells count="1">
    <mergeCell ref="A1:C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DANHMUCSACH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2026-10-19T12:21:49Z</dcterms:created>
  <dcterms:modified xsi:type="dcterms:W3CDTF">2026-10-19T12:57:47Z</dcterms:modified>
</cp:coreProperties>
</file>